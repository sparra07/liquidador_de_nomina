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lo\Desktop\Manolo\Universidad\codigo limpio\"/>
    </mc:Choice>
  </mc:AlternateContent>
  <xr:revisionPtr revIDLastSave="0" documentId="13_ncr:1_{0CD2AC23-2204-4CB3-ABDC-E9C72F9B0D5F}" xr6:coauthVersionLast="47" xr6:coauthVersionMax="47" xr10:uidLastSave="{00000000-0000-0000-0000-000000000000}"/>
  <bookViews>
    <workbookView xWindow="-108" yWindow="-108" windowWidth="23256" windowHeight="12456" xr2:uid="{44518A20-B87A-432C-B775-CE24A8AEDD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" l="1"/>
  <c r="N8" i="1"/>
  <c r="Q8" i="1" s="1"/>
  <c r="N9" i="1"/>
  <c r="Q9" i="1" s="1"/>
  <c r="N10" i="1"/>
  <c r="Q10" i="1" s="1"/>
  <c r="N11" i="1"/>
  <c r="Q11" i="1" s="1"/>
  <c r="N12" i="1"/>
  <c r="Q12" i="1" s="1"/>
  <c r="N13" i="1"/>
  <c r="N14" i="1"/>
  <c r="N15" i="1"/>
  <c r="N16" i="1"/>
  <c r="N17" i="1"/>
  <c r="N6" i="1"/>
  <c r="Q7" i="1"/>
  <c r="R7" i="1" s="1"/>
  <c r="Q6" i="1"/>
  <c r="P9" i="1"/>
  <c r="P10" i="1"/>
  <c r="P13" i="1"/>
  <c r="P16" i="1"/>
  <c r="O7" i="1"/>
  <c r="P7" i="1" s="1"/>
  <c r="O8" i="1"/>
  <c r="P8" i="1" s="1"/>
  <c r="O9" i="1"/>
  <c r="O10" i="1"/>
  <c r="O11" i="1"/>
  <c r="P11" i="1" s="1"/>
  <c r="O12" i="1"/>
  <c r="P12" i="1" s="1"/>
  <c r="O13" i="1"/>
  <c r="O14" i="1"/>
  <c r="P14" i="1" s="1"/>
  <c r="O15" i="1"/>
  <c r="P15" i="1" s="1"/>
  <c r="O16" i="1"/>
  <c r="O17" i="1"/>
  <c r="P17" i="1" s="1"/>
  <c r="M7" i="1"/>
  <c r="M8" i="1"/>
  <c r="M9" i="1"/>
  <c r="M10" i="1"/>
  <c r="M11" i="1"/>
  <c r="M12" i="1"/>
  <c r="M13" i="1"/>
  <c r="M14" i="1"/>
  <c r="M15" i="1"/>
  <c r="M16" i="1"/>
  <c r="M17" i="1"/>
  <c r="L7" i="1"/>
  <c r="L8" i="1"/>
  <c r="L9" i="1"/>
  <c r="L10" i="1"/>
  <c r="L11" i="1"/>
  <c r="L12" i="1"/>
  <c r="L13" i="1"/>
  <c r="L14" i="1"/>
  <c r="L15" i="1"/>
  <c r="L16" i="1"/>
  <c r="L17" i="1"/>
  <c r="K7" i="1"/>
  <c r="K8" i="1"/>
  <c r="K9" i="1"/>
  <c r="K10" i="1"/>
  <c r="K11" i="1"/>
  <c r="K12" i="1"/>
  <c r="K13" i="1"/>
  <c r="K14" i="1"/>
  <c r="K15" i="1"/>
  <c r="K16" i="1"/>
  <c r="K17" i="1"/>
  <c r="O6" i="1"/>
  <c r="P6" i="1" s="1"/>
  <c r="M6" i="1"/>
  <c r="L6" i="1"/>
  <c r="K6" i="1"/>
  <c r="R9" i="1" l="1"/>
  <c r="S9" i="1" s="1"/>
  <c r="R12" i="1"/>
  <c r="S12" i="1"/>
  <c r="R11" i="1"/>
  <c r="S11" i="1" s="1"/>
  <c r="R10" i="1"/>
  <c r="S10" i="1" s="1"/>
  <c r="R8" i="1"/>
  <c r="S8" i="1" s="1"/>
  <c r="R6" i="1"/>
  <c r="S6" i="1" s="1"/>
  <c r="S7" i="1"/>
</calcChain>
</file>

<file path=xl/sharedStrings.xml><?xml version="1.0" encoding="utf-8"?>
<sst xmlns="http://schemas.openxmlformats.org/spreadsheetml/2006/main" count="54" uniqueCount="46">
  <si>
    <t>ENTRADAS</t>
  </si>
  <si>
    <t>SALIDAS</t>
  </si>
  <si>
    <t>Total devengado</t>
  </si>
  <si>
    <t>Total deducciones</t>
  </si>
  <si>
    <t>Neto a pagar</t>
  </si>
  <si>
    <t>Casos Normales</t>
  </si>
  <si>
    <t>Caso Normal</t>
  </si>
  <si>
    <t>Caso Normal 2</t>
  </si>
  <si>
    <t>Casos Extraordinarios</t>
  </si>
  <si>
    <t>Casos de Error</t>
  </si>
  <si>
    <t>caso normal 3</t>
  </si>
  <si>
    <t>Muchas horas extra</t>
  </si>
  <si>
    <t>Pocos días trabajados</t>
  </si>
  <si>
    <t>Deducciones muy altas</t>
  </si>
  <si>
    <t>Días mayores a 30</t>
  </si>
  <si>
    <t>ERROR: los dias trabajados deben ser maximo 30</t>
  </si>
  <si>
    <t>Salario negativo</t>
  </si>
  <si>
    <t>ERROR: el salario no puede ser negativo</t>
  </si>
  <si>
    <t>Horas extra negativas</t>
  </si>
  <si>
    <t>ERROR: no se pueden descontar horas</t>
  </si>
  <si>
    <t>Deducciones mayores al salario</t>
  </si>
  <si>
    <t>ERROR: Las deduciones son mayores al salario neto</t>
  </si>
  <si>
    <t>variables fijas:</t>
  </si>
  <si>
    <t>dias del periodo=30</t>
  </si>
  <si>
    <t>% Salud =</t>
  </si>
  <si>
    <t xml:space="preserve">% Pensión = </t>
  </si>
  <si>
    <t xml:space="preserve">Recargo extra diurna = </t>
  </si>
  <si>
    <t xml:space="preserve">Recargo extra nocturna = </t>
  </si>
  <si>
    <t xml:space="preserve">Horas laborales por día = </t>
  </si>
  <si>
    <t>porcion de incapacidad=</t>
  </si>
  <si>
    <t xml:space="preserve">bonificaciones </t>
  </si>
  <si>
    <t>Pago Días Trabajados</t>
  </si>
  <si>
    <t>Pago Incapacidad</t>
  </si>
  <si>
    <t>Total h/e</t>
  </si>
  <si>
    <t>Valor h/e</t>
  </si>
  <si>
    <t>Dias_trabajados</t>
  </si>
  <si>
    <t>Salario_base</t>
  </si>
  <si>
    <t>Dias_incapacidad</t>
  </si>
  <si>
    <t>Horas_extra</t>
  </si>
  <si>
    <t>Tipo h/e</t>
  </si>
  <si>
    <t xml:space="preserve">Auxilio </t>
  </si>
  <si>
    <t>Deducciones_adicionales</t>
  </si>
  <si>
    <t>Salario_Diario</t>
  </si>
  <si>
    <t>Salario_por_Hora</t>
  </si>
  <si>
    <t>D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</si>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</sst>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mbria"/>
      <family val="1"/>
    </font>
    <font>
      <b/>
      <sz val="11"/>
      <color rgb="FF000000"/>
      <name val="Calibri"/>
      <family val="2"/>
    </font>
    <font>
      <sz val="11"/>
      <name val="Aptos Narrow"/>
      <family val="2"/>
      <scheme val="minor"/>
    </font>
    <font>
      <sz val="1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5" borderId="0" xfId="0" applyFill="1"/>
    <xf numFmtId="0" fontId="0" fillId="0" borderId="1" xfId="0" applyBorder="1"/>
    <xf numFmtId="0" fontId="2" fillId="7" borderId="1" xfId="0" applyFont="1" applyFill="1" applyBorder="1"/>
    <xf numFmtId="0" fontId="0" fillId="7" borderId="1" xfId="0" applyFill="1" applyBorder="1"/>
    <xf numFmtId="0" fontId="3" fillId="0" borderId="1" xfId="0" applyFont="1" applyBorder="1"/>
    <xf numFmtId="0" fontId="4" fillId="3" borderId="1" xfId="0" applyFont="1" applyFill="1" applyBorder="1"/>
    <xf numFmtId="0" fontId="1" fillId="0" borderId="1" xfId="0" applyFont="1" applyBorder="1"/>
    <xf numFmtId="0" fontId="0" fillId="3" borderId="1" xfId="0" applyFill="1" applyBorder="1"/>
    <xf numFmtId="0" fontId="0" fillId="0" borderId="2" xfId="0" applyBorder="1"/>
    <xf numFmtId="0" fontId="0" fillId="4" borderId="1" xfId="0" applyFill="1" applyBorder="1"/>
    <xf numFmtId="0" fontId="5" fillId="0" borderId="1" xfId="0" applyFont="1" applyBorder="1"/>
    <xf numFmtId="0" fontId="2" fillId="7" borderId="2" xfId="0" applyFont="1" applyFill="1" applyBorder="1"/>
    <xf numFmtId="0" fontId="4" fillId="3" borderId="2" xfId="0" applyFont="1" applyFill="1" applyBorder="1"/>
    <xf numFmtId="0" fontId="0" fillId="3" borderId="2" xfId="0" applyFill="1" applyBorder="1"/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42EA-0934-414F-A395-20A67A31C711}">
  <dimension ref="B3:V23"/>
  <sheetViews>
    <sheetView tabSelected="1" zoomScale="70" zoomScaleNormal="70" workbookViewId="0">
      <selection activeCell="S10" sqref="S10"/>
    </sheetView>
  </sheetViews>
  <sheetFormatPr baseColWidth="10" defaultRowHeight="14.4" x14ac:dyDescent="0.3"/>
  <cols>
    <col min="2" max="2" width="29.6640625" bestFit="1" customWidth="1"/>
    <col min="4" max="4" width="15.109375" bestFit="1" customWidth="1"/>
    <col min="5" max="5" width="16.109375" bestFit="1" customWidth="1"/>
    <col min="6" max="6" width="11" bestFit="1" customWidth="1"/>
    <col min="7" max="7" width="9" bestFit="1" customWidth="1"/>
    <col min="8" max="8" width="8" bestFit="1" customWidth="1"/>
    <col min="9" max="9" width="13.88671875" bestFit="1" customWidth="1"/>
    <col min="10" max="10" width="22.44140625" bestFit="1" customWidth="1"/>
    <col min="11" max="11" width="16.5546875" customWidth="1"/>
    <col min="12" max="12" width="17.6640625" bestFit="1" customWidth="1"/>
    <col min="13" max="13" width="20" bestFit="1" customWidth="1"/>
    <col min="14" max="14" width="15.77734375" bestFit="1" customWidth="1"/>
    <col min="15" max="15" width="8.44140625" bestFit="1" customWidth="1"/>
    <col min="16" max="16" width="11.5546875" customWidth="1"/>
    <col min="17" max="17" width="16.109375" customWidth="1"/>
    <col min="18" max="18" width="16.88671875" bestFit="1" customWidth="1"/>
    <col min="21" max="21" width="23.33203125" bestFit="1" customWidth="1"/>
  </cols>
  <sheetData>
    <row r="3" spans="2:22" x14ac:dyDescent="0.3">
      <c r="B3" s="2"/>
      <c r="C3" s="16" t="s">
        <v>0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8" t="s">
        <v>1</v>
      </c>
      <c r="R3" s="18"/>
      <c r="S3" s="18"/>
      <c r="U3" s="10" t="s">
        <v>22</v>
      </c>
      <c r="V3" s="2"/>
    </row>
    <row r="4" spans="2:22" x14ac:dyDescent="0.3">
      <c r="B4" s="2"/>
      <c r="C4" s="3" t="s">
        <v>36</v>
      </c>
      <c r="D4" s="4" t="s">
        <v>35</v>
      </c>
      <c r="E4" s="4" t="s">
        <v>37</v>
      </c>
      <c r="F4" s="3" t="s">
        <v>38</v>
      </c>
      <c r="G4" s="3" t="s">
        <v>39</v>
      </c>
      <c r="H4" s="3" t="s">
        <v>40</v>
      </c>
      <c r="I4" s="3" t="s">
        <v>30</v>
      </c>
      <c r="J4" s="3" t="s">
        <v>41</v>
      </c>
      <c r="K4" s="4" t="s">
        <v>42</v>
      </c>
      <c r="L4" s="4" t="s">
        <v>43</v>
      </c>
      <c r="M4" s="4" t="s">
        <v>31</v>
      </c>
      <c r="N4" s="4" t="s">
        <v>32</v>
      </c>
      <c r="O4" s="4" t="s">
        <v>34</v>
      </c>
      <c r="P4" s="12" t="s">
        <v>33</v>
      </c>
      <c r="Q4" s="3" t="s">
        <v>2</v>
      </c>
      <c r="R4" s="3" t="s">
        <v>3</v>
      </c>
      <c r="S4" s="3" t="s">
        <v>4</v>
      </c>
      <c r="U4" s="2" t="s">
        <v>24</v>
      </c>
      <c r="V4" s="2">
        <v>0.04</v>
      </c>
    </row>
    <row r="5" spans="2:22" x14ac:dyDescent="0.3">
      <c r="B5" s="5" t="s">
        <v>5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13"/>
      <c r="Q5" s="6"/>
      <c r="R5" s="6"/>
      <c r="S5" s="6"/>
      <c r="U5" s="2" t="s">
        <v>25</v>
      </c>
      <c r="V5" s="2">
        <v>0.04</v>
      </c>
    </row>
    <row r="6" spans="2:22" x14ac:dyDescent="0.3">
      <c r="B6" s="7" t="s">
        <v>6</v>
      </c>
      <c r="C6" s="2">
        <v>1500000</v>
      </c>
      <c r="D6" s="2">
        <v>30</v>
      </c>
      <c r="E6" s="2">
        <v>2</v>
      </c>
      <c r="F6" s="2">
        <v>10</v>
      </c>
      <c r="G6" s="2" t="s">
        <v>44</v>
      </c>
      <c r="H6" s="2">
        <v>162000</v>
      </c>
      <c r="I6" s="2">
        <v>124000</v>
      </c>
      <c r="J6" s="2">
        <v>0</v>
      </c>
      <c r="K6" s="2">
        <f xml:space="preserve"> C6 / 30</f>
        <v>50000</v>
      </c>
      <c r="L6" s="2">
        <f xml:space="preserve"> C6 / 30*8</f>
        <v>400000</v>
      </c>
      <c r="M6" s="2">
        <f xml:space="preserve"> (C6 / 30) * D6</f>
        <v>1500000</v>
      </c>
      <c r="N6" s="2">
        <f xml:space="preserve"> K6 * E6 * 0.66</f>
        <v>66000</v>
      </c>
      <c r="O6" s="2">
        <f>IF(G6="D",(C6/(30*8))*1.25,(C6/(30*8))*1.75)</f>
        <v>7812.5</v>
      </c>
      <c r="P6" s="9">
        <f>F6*O6</f>
        <v>78125</v>
      </c>
      <c r="Q6" s="2">
        <f>M6+N6+P6+H6+I6</f>
        <v>1930125</v>
      </c>
      <c r="R6" s="2">
        <f>Q6*0.04+Q6*0.04+J6</f>
        <v>154410</v>
      </c>
      <c r="S6" s="2">
        <f>Q6-R6</f>
        <v>1775715</v>
      </c>
      <c r="U6" s="2" t="s">
        <v>26</v>
      </c>
      <c r="V6" s="2">
        <v>1.25</v>
      </c>
    </row>
    <row r="7" spans="2:22" x14ac:dyDescent="0.3">
      <c r="B7" s="7" t="s">
        <v>7</v>
      </c>
      <c r="C7" s="2">
        <v>2000000</v>
      </c>
      <c r="D7" s="2">
        <v>30</v>
      </c>
      <c r="E7" s="2">
        <v>3</v>
      </c>
      <c r="F7" s="2">
        <v>5</v>
      </c>
      <c r="G7" s="2" t="s">
        <v>44</v>
      </c>
      <c r="H7" s="2">
        <v>162000</v>
      </c>
      <c r="I7" s="2">
        <v>14000</v>
      </c>
      <c r="J7" s="2">
        <v>50000</v>
      </c>
      <c r="K7" s="2">
        <f t="shared" ref="K7:K17" si="0" xml:space="preserve"> C7 / 30</f>
        <v>66666.666666666672</v>
      </c>
      <c r="L7" s="2">
        <f t="shared" ref="L7:L17" si="1" xml:space="preserve"> C7 / 30*8</f>
        <v>533333.33333333337</v>
      </c>
      <c r="M7" s="2">
        <f t="shared" ref="M7:M17" si="2" xml:space="preserve"> (C7 / 30) * D7</f>
        <v>2000000.0000000002</v>
      </c>
      <c r="N7" s="2">
        <f t="shared" ref="N7:N17" si="3" xml:space="preserve"> K7 * E7 * 0.66</f>
        <v>132000</v>
      </c>
      <c r="O7" s="2">
        <f t="shared" ref="O7:O17" si="4">IF(G7="D",(C7/(30*8))*1.25,(C7/(30*8))*1.75)</f>
        <v>10416.666666666668</v>
      </c>
      <c r="P7" s="9">
        <f t="shared" ref="P7:P17" si="5">F7*O7</f>
        <v>52083.333333333343</v>
      </c>
      <c r="Q7" s="2">
        <f t="shared" ref="Q7:Q12" si="6">M7+N7+P7+H7+I7</f>
        <v>2360083.3333333335</v>
      </c>
      <c r="R7" s="2">
        <f t="shared" ref="R7:R12" si="7">Q7*0.04+Q7*0.04+J7</f>
        <v>238806.66666666669</v>
      </c>
      <c r="S7" s="2">
        <f t="shared" ref="S7:S12" si="8">Q7-R7</f>
        <v>2121276.666666667</v>
      </c>
      <c r="U7" s="2" t="s">
        <v>27</v>
      </c>
      <c r="V7" s="2">
        <v>1.75</v>
      </c>
    </row>
    <row r="8" spans="2:22" x14ac:dyDescent="0.3">
      <c r="B8" s="7" t="s">
        <v>10</v>
      </c>
      <c r="C8" s="2">
        <v>1800000</v>
      </c>
      <c r="D8" s="2">
        <v>28</v>
      </c>
      <c r="E8" s="2">
        <v>0</v>
      </c>
      <c r="F8" s="2">
        <v>8</v>
      </c>
      <c r="G8" s="2" t="s">
        <v>45</v>
      </c>
      <c r="H8" s="2">
        <v>162000</v>
      </c>
      <c r="I8" s="2">
        <v>50000</v>
      </c>
      <c r="J8" s="2">
        <v>20000</v>
      </c>
      <c r="K8" s="2">
        <f t="shared" si="0"/>
        <v>60000</v>
      </c>
      <c r="L8" s="2">
        <f t="shared" si="1"/>
        <v>480000</v>
      </c>
      <c r="M8" s="2">
        <f t="shared" si="2"/>
        <v>1680000</v>
      </c>
      <c r="N8" s="2">
        <f t="shared" si="3"/>
        <v>0</v>
      </c>
      <c r="O8" s="2">
        <f t="shared" si="4"/>
        <v>13125</v>
      </c>
      <c r="P8" s="9">
        <f t="shared" si="5"/>
        <v>105000</v>
      </c>
      <c r="Q8" s="2">
        <f t="shared" si="6"/>
        <v>1997000</v>
      </c>
      <c r="R8" s="2">
        <f t="shared" si="7"/>
        <v>179760</v>
      </c>
      <c r="S8" s="2">
        <f t="shared" si="8"/>
        <v>1817240</v>
      </c>
      <c r="U8" s="2" t="s">
        <v>28</v>
      </c>
      <c r="V8" s="2">
        <v>8</v>
      </c>
    </row>
    <row r="9" spans="2:22" ht="15" x14ac:dyDescent="0.35">
      <c r="B9" s="5" t="s">
        <v>8</v>
      </c>
      <c r="C9" s="8"/>
      <c r="D9" s="8"/>
      <c r="E9" s="8"/>
      <c r="F9" s="8"/>
      <c r="G9" s="8"/>
      <c r="H9" s="8"/>
      <c r="I9" s="8"/>
      <c r="J9" s="8"/>
      <c r="K9" s="8">
        <f t="shared" si="0"/>
        <v>0</v>
      </c>
      <c r="L9" s="8">
        <f t="shared" si="1"/>
        <v>0</v>
      </c>
      <c r="M9" s="8">
        <f t="shared" si="2"/>
        <v>0</v>
      </c>
      <c r="N9" s="8">
        <f t="shared" si="3"/>
        <v>0</v>
      </c>
      <c r="O9" s="8">
        <f t="shared" si="4"/>
        <v>0</v>
      </c>
      <c r="P9" s="14">
        <f t="shared" si="5"/>
        <v>0</v>
      </c>
      <c r="Q9" s="8">
        <f t="shared" si="6"/>
        <v>0</v>
      </c>
      <c r="R9" s="8">
        <f t="shared" si="7"/>
        <v>0</v>
      </c>
      <c r="S9" s="8">
        <f t="shared" si="8"/>
        <v>0</v>
      </c>
      <c r="U9" s="11" t="s">
        <v>23</v>
      </c>
      <c r="V9" s="2">
        <v>30</v>
      </c>
    </row>
    <row r="10" spans="2:22" x14ac:dyDescent="0.3">
      <c r="B10" s="2" t="s">
        <v>11</v>
      </c>
      <c r="C10" s="2">
        <v>1500000</v>
      </c>
      <c r="D10" s="2">
        <v>30</v>
      </c>
      <c r="E10" s="2">
        <v>2</v>
      </c>
      <c r="F10" s="2">
        <v>40</v>
      </c>
      <c r="G10" s="2" t="s">
        <v>45</v>
      </c>
      <c r="H10" s="2">
        <v>162000</v>
      </c>
      <c r="I10" s="2">
        <v>20000</v>
      </c>
      <c r="J10" s="2">
        <v>0</v>
      </c>
      <c r="K10" s="2">
        <f t="shared" si="0"/>
        <v>50000</v>
      </c>
      <c r="L10" s="2">
        <f t="shared" si="1"/>
        <v>400000</v>
      </c>
      <c r="M10" s="2">
        <f t="shared" si="2"/>
        <v>1500000</v>
      </c>
      <c r="N10" s="2">
        <f t="shared" si="3"/>
        <v>66000</v>
      </c>
      <c r="O10" s="2">
        <f t="shared" si="4"/>
        <v>10937.5</v>
      </c>
      <c r="P10" s="9">
        <f t="shared" si="5"/>
        <v>437500</v>
      </c>
      <c r="Q10" s="2">
        <f t="shared" si="6"/>
        <v>2185500</v>
      </c>
      <c r="R10" s="2">
        <f t="shared" si="7"/>
        <v>174840</v>
      </c>
      <c r="S10" s="2">
        <f t="shared" si="8"/>
        <v>2010660</v>
      </c>
      <c r="U10" s="2" t="s">
        <v>29</v>
      </c>
      <c r="V10" s="2">
        <v>0.66</v>
      </c>
    </row>
    <row r="11" spans="2:22" x14ac:dyDescent="0.3">
      <c r="B11" s="2" t="s">
        <v>12</v>
      </c>
      <c r="C11" s="2">
        <v>1500000</v>
      </c>
      <c r="D11" s="2">
        <v>10</v>
      </c>
      <c r="E11" s="2">
        <v>1</v>
      </c>
      <c r="F11" s="2">
        <v>0</v>
      </c>
      <c r="G11" s="2" t="s">
        <v>44</v>
      </c>
      <c r="H11" s="2">
        <v>162000</v>
      </c>
      <c r="I11" s="2">
        <v>0</v>
      </c>
      <c r="J11" s="2">
        <v>0</v>
      </c>
      <c r="K11" s="2">
        <f t="shared" si="0"/>
        <v>50000</v>
      </c>
      <c r="L11" s="2">
        <f t="shared" si="1"/>
        <v>400000</v>
      </c>
      <c r="M11" s="2">
        <f t="shared" si="2"/>
        <v>500000</v>
      </c>
      <c r="N11" s="2">
        <f t="shared" si="3"/>
        <v>33000</v>
      </c>
      <c r="O11" s="2">
        <f t="shared" si="4"/>
        <v>7812.5</v>
      </c>
      <c r="P11" s="9">
        <f t="shared" si="5"/>
        <v>0</v>
      </c>
      <c r="Q11" s="2">
        <f t="shared" si="6"/>
        <v>695000</v>
      </c>
      <c r="R11" s="2">
        <f t="shared" si="7"/>
        <v>55600</v>
      </c>
      <c r="S11" s="2">
        <f t="shared" si="8"/>
        <v>639400</v>
      </c>
    </row>
    <row r="12" spans="2:22" x14ac:dyDescent="0.3">
      <c r="B12" s="2" t="s">
        <v>13</v>
      </c>
      <c r="C12" s="2">
        <v>2500000</v>
      </c>
      <c r="D12" s="2">
        <v>30</v>
      </c>
      <c r="E12" s="2">
        <v>0</v>
      </c>
      <c r="F12" s="2">
        <v>0</v>
      </c>
      <c r="G12" s="2" t="s">
        <v>44</v>
      </c>
      <c r="H12" s="2">
        <v>162000</v>
      </c>
      <c r="I12" s="2">
        <v>0</v>
      </c>
      <c r="J12" s="2">
        <v>500000</v>
      </c>
      <c r="K12" s="2">
        <f t="shared" si="0"/>
        <v>83333.333333333328</v>
      </c>
      <c r="L12" s="2">
        <f t="shared" si="1"/>
        <v>666666.66666666663</v>
      </c>
      <c r="M12" s="2">
        <f t="shared" si="2"/>
        <v>2500000</v>
      </c>
      <c r="N12" s="2">
        <f t="shared" si="3"/>
        <v>0</v>
      </c>
      <c r="O12" s="2">
        <f t="shared" si="4"/>
        <v>13020.833333333332</v>
      </c>
      <c r="P12" s="9">
        <f t="shared" si="5"/>
        <v>0</v>
      </c>
      <c r="Q12" s="2">
        <f t="shared" si="6"/>
        <v>2662000</v>
      </c>
      <c r="R12" s="2">
        <f t="shared" si="7"/>
        <v>712960</v>
      </c>
      <c r="S12" s="2">
        <f t="shared" si="8"/>
        <v>1949040</v>
      </c>
    </row>
    <row r="13" spans="2:22" x14ac:dyDescent="0.3">
      <c r="B13" s="5" t="s">
        <v>9</v>
      </c>
      <c r="C13" s="8"/>
      <c r="D13" s="8"/>
      <c r="E13" s="8"/>
      <c r="F13" s="8"/>
      <c r="G13" s="8"/>
      <c r="H13" s="8"/>
      <c r="I13" s="8"/>
      <c r="J13" s="8"/>
      <c r="K13" s="8">
        <f t="shared" si="0"/>
        <v>0</v>
      </c>
      <c r="L13" s="8">
        <f t="shared" si="1"/>
        <v>0</v>
      </c>
      <c r="M13" s="8">
        <f t="shared" si="2"/>
        <v>0</v>
      </c>
      <c r="N13" s="8">
        <f t="shared" si="3"/>
        <v>0</v>
      </c>
      <c r="O13" s="8">
        <f t="shared" si="4"/>
        <v>0</v>
      </c>
      <c r="P13" s="14">
        <f t="shared" si="5"/>
        <v>0</v>
      </c>
      <c r="Q13" s="8"/>
      <c r="R13" s="8"/>
      <c r="S13" s="8"/>
    </row>
    <row r="14" spans="2:22" x14ac:dyDescent="0.3">
      <c r="B14" s="2" t="s">
        <v>14</v>
      </c>
      <c r="C14" s="2">
        <v>1500000</v>
      </c>
      <c r="D14" s="2">
        <v>35</v>
      </c>
      <c r="E14" s="2">
        <v>3</v>
      </c>
      <c r="F14" s="2">
        <v>5</v>
      </c>
      <c r="G14" s="2" t="s">
        <v>44</v>
      </c>
      <c r="H14" s="2">
        <v>162000</v>
      </c>
      <c r="I14" s="2">
        <v>100000</v>
      </c>
      <c r="J14" s="2">
        <v>0</v>
      </c>
      <c r="K14" s="2">
        <f t="shared" si="0"/>
        <v>50000</v>
      </c>
      <c r="L14" s="2">
        <f t="shared" si="1"/>
        <v>400000</v>
      </c>
      <c r="M14" s="2">
        <f t="shared" si="2"/>
        <v>1750000</v>
      </c>
      <c r="N14" s="2">
        <f t="shared" si="3"/>
        <v>99000</v>
      </c>
      <c r="O14" s="2">
        <f t="shared" si="4"/>
        <v>7812.5</v>
      </c>
      <c r="P14" s="9">
        <f t="shared" si="5"/>
        <v>39062.5</v>
      </c>
      <c r="Q14" s="15" t="s">
        <v>15</v>
      </c>
      <c r="R14" s="15"/>
      <c r="S14" s="15"/>
    </row>
    <row r="15" spans="2:22" x14ac:dyDescent="0.3">
      <c r="B15" s="2" t="s">
        <v>16</v>
      </c>
      <c r="C15" s="2">
        <v>-1500000</v>
      </c>
      <c r="D15" s="2">
        <v>30</v>
      </c>
      <c r="E15" s="2">
        <v>6</v>
      </c>
      <c r="F15" s="2">
        <v>5</v>
      </c>
      <c r="G15" s="2" t="s">
        <v>45</v>
      </c>
      <c r="H15" s="2">
        <v>162000</v>
      </c>
      <c r="I15" s="2">
        <v>500000</v>
      </c>
      <c r="J15" s="2">
        <v>0</v>
      </c>
      <c r="K15" s="2">
        <f t="shared" si="0"/>
        <v>-50000</v>
      </c>
      <c r="L15" s="2">
        <f t="shared" si="1"/>
        <v>-400000</v>
      </c>
      <c r="M15" s="2">
        <f t="shared" si="2"/>
        <v>-1500000</v>
      </c>
      <c r="N15" s="2">
        <f t="shared" si="3"/>
        <v>-198000</v>
      </c>
      <c r="O15" s="2">
        <f t="shared" si="4"/>
        <v>-10937.5</v>
      </c>
      <c r="P15" s="9">
        <f t="shared" si="5"/>
        <v>-54687.5</v>
      </c>
      <c r="Q15" s="15" t="s">
        <v>17</v>
      </c>
      <c r="R15" s="15"/>
      <c r="S15" s="15"/>
    </row>
    <row r="16" spans="2:22" x14ac:dyDescent="0.3">
      <c r="B16" s="2" t="s">
        <v>18</v>
      </c>
      <c r="C16" s="2">
        <v>1500000</v>
      </c>
      <c r="D16" s="2">
        <v>30</v>
      </c>
      <c r="E16" s="2">
        <v>4</v>
      </c>
      <c r="F16" s="2">
        <v>-4</v>
      </c>
      <c r="G16" s="2" t="s">
        <v>44</v>
      </c>
      <c r="H16" s="2">
        <v>162000</v>
      </c>
      <c r="I16" s="2">
        <v>111110</v>
      </c>
      <c r="J16" s="2">
        <v>0</v>
      </c>
      <c r="K16" s="2">
        <f t="shared" si="0"/>
        <v>50000</v>
      </c>
      <c r="L16" s="2">
        <f t="shared" si="1"/>
        <v>400000</v>
      </c>
      <c r="M16" s="2">
        <f t="shared" si="2"/>
        <v>1500000</v>
      </c>
      <c r="N16" s="2">
        <f t="shared" si="3"/>
        <v>132000</v>
      </c>
      <c r="O16" s="2">
        <f t="shared" si="4"/>
        <v>7812.5</v>
      </c>
      <c r="P16" s="9">
        <f t="shared" si="5"/>
        <v>-31250</v>
      </c>
      <c r="Q16" s="15" t="s">
        <v>19</v>
      </c>
      <c r="R16" s="15"/>
      <c r="S16" s="15"/>
    </row>
    <row r="17" spans="2:19" x14ac:dyDescent="0.3">
      <c r="B17" s="2" t="s">
        <v>20</v>
      </c>
      <c r="C17" s="2">
        <v>1500000</v>
      </c>
      <c r="D17" s="2">
        <v>30</v>
      </c>
      <c r="E17" s="2">
        <v>7</v>
      </c>
      <c r="F17" s="2">
        <v>5</v>
      </c>
      <c r="G17" s="2" t="s">
        <v>45</v>
      </c>
      <c r="H17" s="2">
        <v>162000</v>
      </c>
      <c r="I17" s="2">
        <v>5000</v>
      </c>
      <c r="J17" s="2">
        <v>2000000</v>
      </c>
      <c r="K17" s="2">
        <f t="shared" si="0"/>
        <v>50000</v>
      </c>
      <c r="L17" s="2">
        <f t="shared" si="1"/>
        <v>400000</v>
      </c>
      <c r="M17" s="2">
        <f t="shared" si="2"/>
        <v>1500000</v>
      </c>
      <c r="N17" s="2">
        <f t="shared" si="3"/>
        <v>231000</v>
      </c>
      <c r="O17" s="2">
        <f t="shared" si="4"/>
        <v>10937.5</v>
      </c>
      <c r="P17" s="9">
        <f t="shared" si="5"/>
        <v>54687.5</v>
      </c>
      <c r="Q17" s="15" t="s">
        <v>21</v>
      </c>
      <c r="R17" s="15"/>
      <c r="S17" s="15"/>
    </row>
    <row r="23" spans="2:19" x14ac:dyDescent="0.3">
      <c r="B23" s="1"/>
    </row>
  </sheetData>
  <mergeCells count="6">
    <mergeCell ref="Q17:S17"/>
    <mergeCell ref="Q14:S14"/>
    <mergeCell ref="C3:P3"/>
    <mergeCell ref="Q3:S3"/>
    <mergeCell ref="Q15:S15"/>
    <mergeCell ref="Q16:S1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b14s119</dc:creator>
  <cp:lastModifiedBy>Manolo Restrepo Gil</cp:lastModifiedBy>
  <dcterms:created xsi:type="dcterms:W3CDTF">2026-02-11T11:40:02Z</dcterms:created>
  <dcterms:modified xsi:type="dcterms:W3CDTF">2026-02-20T17:46:13Z</dcterms:modified>
</cp:coreProperties>
</file>